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0d80d384d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f1a33b14b1847f1"/>
    <x:sheet xmlns:r="http://schemas.openxmlformats.org/officeDocument/2006/relationships" name="Annual Plan" sheetId="2" r:id="Rd9c3f2819c02411e"/>
    <x:sheet xmlns:r="http://schemas.openxmlformats.org/officeDocument/2006/relationships" name="Dashboard" sheetId="3" r:id="R612c2f306f1842ba"/>
    <x:sheet xmlns:r="http://schemas.openxmlformats.org/officeDocument/2006/relationships" name="Update Log" sheetId="4" r:id="R1d12cbc800524fb4"/>
    <x:sheet xmlns:r="http://schemas.openxmlformats.org/officeDocument/2006/relationships" name="Guide" sheetId="5" r:id="Rc747b46c42a3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3">
    <x:font>
      <x:sz val="11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2BD"/>
      </x:patternFill>
    </x:fill>
    <x:fill>
      <x:patternFill patternType="solid">
        <x:fgColor rgb="FF13243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e032f44304558" /><Relationship Type="http://schemas.openxmlformats.org/officeDocument/2006/relationships/theme" Target="/xl/theme/theme1.xml" Id="Rc129d83693e54d3e" /><Relationship Type="http://schemas.openxmlformats.org/officeDocument/2006/relationships/sharedStrings" Target="/xl/sharedStrings.xml" Id="Re481779783bf4a08" /><Relationship Type="http://schemas.openxmlformats.org/officeDocument/2006/relationships/worksheet" Target="/xl/worksheets/sheet1.xml" Id="R7f1a33b14b1847f1" /><Relationship Type="http://schemas.openxmlformats.org/officeDocument/2006/relationships/worksheet" Target="/xl/worksheets/sheet2.xml" Id="Rd9c3f2819c02411e" /><Relationship Type="http://schemas.openxmlformats.org/officeDocument/2006/relationships/worksheet" Target="/xl/worksheets/sheet3.xml" Id="R612c2f306f1842ba" /><Relationship Type="http://schemas.openxmlformats.org/officeDocument/2006/relationships/worksheet" Target="/xl/worksheets/sheet4.xml" Id="R1d12cbc800524fb4" /><Relationship Type="http://schemas.openxmlformats.org/officeDocument/2006/relationships/worksheet" Target="/xl/worksheets/sheet5.xml" Id="Rc747b46c42a342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2" hidden="0" customWidth="1"/>
    <x:col min="3" max="3" width="52" hidden="0" customWidth="1"/>
  </x:cols>
  <x:sheetData>
    <x:row r="1" ht="29" customHeight="1">
      <x:c r="A1" s="7" t="str">
        <x:v>ASSUMPTIONS — EDIT BLUE VALUES</x:v>
      </x:c>
      <x:c r="B1" s="7" t="str">
        <x:v>Value</x:v>
      </x:c>
      <x:c r="C1" s="7" t="str">
        <x:v>Explanation</x:v>
      </x:c>
    </x:row>
    <x:row r="2">
      <x:c r="A2" t="str">
        <x:v>Starting cash Jan 2028</x:v>
      </x:c>
      <x:c r="B2" s="4" t="n">
        <x:v>0</x:v>
      </x:c>
      <x:c r="C2" t="str">
        <x:v>Planning estimate — replace with actuals when known</x:v>
      </x:c>
    </x:row>
    <x:row r="3">
      <x:c r="A3" t="str">
        <x:v>Jan 2028 bonus</x:v>
      </x:c>
      <x:c r="B3" s="4" t="n">
        <x:v>60500</x:v>
      </x:c>
      <x:c r="C3" t="str">
        <x:v>Planning estimate — replace with actuals when known</x:v>
      </x:c>
    </x:row>
    <x:row r="4">
      <x:c r="A4" t="str">
        <x:v>2028 pre-switch monthly net</x:v>
      </x:c>
      <x:c r="B4" s="4" t="n">
        <x:v>13612.5</x:v>
      </x:c>
      <x:c r="C4" t="str">
        <x:v>Planning estimate — replace with actuals when known</x:v>
      </x:c>
    </x:row>
    <x:row r="5">
      <x:c r="A5" t="str">
        <x:v>New gross salary July 2028</x:v>
      </x:c>
      <x:c r="B5" s="4" t="n">
        <x:v>25000</x:v>
      </x:c>
      <x:c r="C5" t="str">
        <x:v>Planning estimate — replace with actuals when known</x:v>
      </x:c>
    </x:row>
    <x:row r="6">
      <x:c r="A6" t="str">
        <x:v>Net factor</x:v>
      </x:c>
      <x:c r="B6" s="4" t="n">
        <x:v>0.9</x:v>
      </x:c>
      <x:c r="C6" t="str">
        <x:v>Planning estimate — replace with actuals when known</x:v>
      </x:c>
    </x:row>
    <x:row r="7">
      <x:c r="A7" t="str">
        <x:v>Annual salary raise</x:v>
      </x:c>
      <x:c r="B7" s="4" t="n">
        <x:v>0.05</x:v>
      </x:c>
      <x:c r="C7" t="str">
        <x:v>Planning estimate — replace with actuals when known</x:v>
      </x:c>
    </x:row>
    <x:row r="8">
      <x:c r="A8" t="str">
        <x:v>Promotion year</x:v>
      </x:c>
      <x:c r="B8" s="4" t="n">
        <x:v>2031</x:v>
      </x:c>
      <x:c r="C8" t="str">
        <x:v>Planning estimate — replace with actuals when known</x:v>
      </x:c>
    </x:row>
    <x:row r="9">
      <x:c r="A9" t="str">
        <x:v>Promotion raise</x:v>
      </x:c>
      <x:c r="B9" s="4" t="n">
        <x:v>0.05</x:v>
      </x:c>
      <x:c r="C9" t="str">
        <x:v>Planning estimate — replace with actuals when known</x:v>
      </x:c>
    </x:row>
    <x:row r="10">
      <x:c r="A10" t="str">
        <x:v>Bonus in months</x:v>
      </x:c>
      <x:c r="B10" s="4" t="n">
        <x:v>3</x:v>
      </x:c>
      <x:c r="C10" t="str">
        <x:v>Planning estimate — replace with actuals when known</x:v>
      </x:c>
    </x:row>
    <x:row r="11">
      <x:c r="A11" t="str">
        <x:v>First annual bonus year</x:v>
      </x:c>
      <x:c r="B11" s="4" t="n">
        <x:v>2029</x:v>
      </x:c>
      <x:c r="C11" t="str">
        <x:v>Planning estimate — replace with actuals when known</x:v>
      </x:c>
    </x:row>
    <x:row r="12">
      <x:c r="A12" t="str">
        <x:v>Living expenses pre-marriage</x:v>
      </x:c>
      <x:c r="B12" s="4" t="n">
        <x:v>6500</x:v>
      </x:c>
      <x:c r="C12" t="str">
        <x:v>Planning estimate — replace with actuals when known</x:v>
      </x:c>
    </x:row>
    <x:row r="13">
      <x:c r="A13" t="str">
        <x:v>Living expenses after marriage</x:v>
      </x:c>
      <x:c r="B13" s="4" t="n">
        <x:v>11000</x:v>
      </x:c>
      <x:c r="C13" t="str">
        <x:v>Planning estimate — replace with actuals when known</x:v>
      </x:c>
    </x:row>
    <x:row r="14">
      <x:c r="A14" t="str">
        <x:v>Marriage year</x:v>
      </x:c>
      <x:c r="B14" s="4" t="n">
        <x:v>2031</x:v>
      </x:c>
      <x:c r="C14" t="str">
        <x:v>Planning estimate — replace with actuals when known</x:v>
      </x:c>
    </x:row>
    <x:row r="15">
      <x:c r="A15" t="str">
        <x:v>Marriage cost</x:v>
      </x:c>
      <x:c r="B15" s="4" t="n">
        <x:v>200000</x:v>
      </x:c>
      <x:c r="C15" t="str">
        <x:v>Planning estimate — replace with actuals when known</x:v>
      </x:c>
    </x:row>
    <x:row r="16">
      <x:c r="A16" t="str">
        <x:v>Car 1 price</x:v>
      </x:c>
      <x:c r="B16" s="4" t="n">
        <x:v>350000</x:v>
      </x:c>
      <x:c r="C16" t="str">
        <x:v>Planning estimate — replace with actuals when known</x:v>
      </x:c>
    </x:row>
    <x:row r="17">
      <x:c r="A17" t="str">
        <x:v>Car 1 down payment</x:v>
      </x:c>
      <x:c r="B17" s="4" t="n">
        <x:v>60500</x:v>
      </x:c>
      <x:c r="C17" t="str">
        <x:v>Planning estimate — replace with actuals when known</x:v>
      </x:c>
    </x:row>
    <x:row r="18">
      <x:c r="A18" t="str">
        <x:v>Car 1 balloon percentage</x:v>
      </x:c>
      <x:c r="B18" s="4" t="n">
        <x:v>0.4</x:v>
      </x:c>
      <x:c r="C18" t="str">
        <x:v>Planning estimate — replace with actuals when known</x:v>
      </x:c>
    </x:row>
    <x:row r="19">
      <x:c r="A19" t="str">
        <x:v>Car 1 financing annual rate</x:v>
      </x:c>
      <x:c r="B19" s="4" t="n">
        <x:v>0.06</x:v>
      </x:c>
      <x:c r="C19" t="str">
        <x:v>Planning estimate — replace with actuals when known</x:v>
      </x:c>
    </x:row>
    <x:row r="20">
      <x:c r="A20" t="str">
        <x:v>Car 1 term in months</x:v>
      </x:c>
      <x:c r="B20" s="4" t="n">
        <x:v>60</x:v>
      </x:c>
      <x:c r="C20" t="str">
        <x:v>Planning estimate — replace with actuals when known</x:v>
      </x:c>
    </x:row>
    <x:row r="21">
      <x:c r="A21" t="str">
        <x:v>Car 1 purchase year</x:v>
      </x:c>
      <x:c r="B21" s="4" t="n">
        <x:v>2028</x:v>
      </x:c>
      <x:c r="C21" t="str">
        <x:v>Planning estimate — replace with actuals when known</x:v>
      </x:c>
    </x:row>
    <x:row r="22">
      <x:c r="A22" t="str">
        <x:v>Car 1 sale year</x:v>
      </x:c>
      <x:c r="B22" s="4" t="n">
        <x:v>2032</x:v>
      </x:c>
      <x:c r="C22" t="str">
        <x:v>Planning estimate — replace with actuals when known</x:v>
      </x:c>
    </x:row>
    <x:row r="23">
      <x:c r="A23" t="str">
        <x:v>Car 1 resale value</x:v>
      </x:c>
      <x:c r="B23" s="4" t="n">
        <x:v>180000</x:v>
      </x:c>
      <x:c r="C23" t="str">
        <x:v>Planning estimate — replace with actuals when known</x:v>
      </x:c>
    </x:row>
    <x:row r="24">
      <x:c r="A24" t="str">
        <x:v>Car 2 purchase year</x:v>
      </x:c>
      <x:c r="B24" s="4" t="n">
        <x:v>2032</x:v>
      </x:c>
      <x:c r="C24" t="str">
        <x:v>Planning estimate — replace with actuals when known</x:v>
      </x:c>
    </x:row>
    <x:row r="25">
      <x:c r="A25" t="str">
        <x:v>Car 2 cash price</x:v>
      </x:c>
      <x:c r="B25" s="4" t="n">
        <x:v>500000</x:v>
      </x:c>
      <x:c r="C25" t="str">
        <x:v>Planning estimate — replace with actuals when known</x:v>
      </x:c>
    </x:row>
    <x:row r="26">
      <x:c r="A26" t="str">
        <x:v>Villa year</x:v>
      </x:c>
      <x:c r="B26" s="4" t="n">
        <x:v>2035</x:v>
      </x:c>
      <x:c r="C26" t="str">
        <x:v>Planning estimate — replace with actuals when known</x:v>
      </x:c>
    </x:row>
    <x:row r="27">
      <x:c r="A27" t="str">
        <x:v>Villa price</x:v>
      </x:c>
      <x:c r="B27" s="4" t="n">
        <x:v>2500000</x:v>
      </x:c>
      <x:c r="C27" t="str">
        <x:v>Planning estimate — replace with actuals when known</x:v>
      </x:c>
    </x:row>
    <x:row r="28">
      <x:c r="A28" t="str">
        <x:v>Villa down payment</x:v>
      </x:c>
      <x:c r="B28" s="4" t="n">
        <x:v>900000</x:v>
      </x:c>
      <x:c r="C28" t="str">
        <x:v>Planning estimate — replace with actuals when known</x:v>
      </x:c>
    </x:row>
    <x:row r="29">
      <x:c r="A29" t="str">
        <x:v>Villa fees and fitout</x:v>
      </x:c>
      <x:c r="B29" s="4" t="n">
        <x:v>100000</x:v>
      </x:c>
      <x:c r="C29" t="str">
        <x:v>Planning estimate — replace with actuals when known</x:v>
      </x:c>
    </x:row>
    <x:row r="30">
      <x:c r="A30" t="str">
        <x:v>Mortgage rate</x:v>
      </x:c>
      <x:c r="B30" s="4" t="n">
        <x:v>0.055</x:v>
      </x:c>
      <x:c r="C30" t="str">
        <x:v>Planning estimate — replace with actuals when known</x:v>
      </x:c>
    </x:row>
    <x:row r="31">
      <x:c r="A31" t="str">
        <x:v>Mortgage years</x:v>
      </x:c>
      <x:c r="B31" s="4" t="n">
        <x:v>30</x:v>
      </x:c>
      <x:c r="C31" t="str">
        <x:v>Planning estimate — replace with actuals when known</x:v>
      </x:c>
    </x:row>
    <x:row r="32">
      <x:c r="A32" t="str">
        <x:v>Emergency reserve</x:v>
      </x:c>
      <x:c r="B32" s="4" t="n">
        <x:v>100000</x:v>
      </x:c>
      <x:c r="C32" t="str">
        <x:v>Planning estimate — replace with actuals when known</x:v>
      </x:c>
    </x:row>
    <x:row r="33">
      <x:c r="A33" t="str">
        <x:v>Annual portfolio return</x:v>
      </x:c>
      <x:c r="B33" s="4" t="n">
        <x:v>0.08</x:v>
      </x:c>
      <x:c r="C33" t="str">
        <x:v>Planning estimate — replace with actuals when known</x:v>
      </x:c>
    </x:row>
    <x:row r="34">
      <x:c r="A34" t="str">
        <x:v>Portfolio seed after villa</x:v>
      </x:c>
      <x:c r="B34" s="4" t="n">
        <x:v>350000</x:v>
      </x:c>
      <x:c r="C34" t="str">
        <x:v>Planning estimate — replace with actuals when known</x:v>
      </x:c>
    </x:row>
    <x:row r="35">
      <x:c r="A35" t="str">
        <x:v>Monthly investing after villa</x:v>
      </x:c>
      <x:c r="B35" s="4" t="n">
        <x:v>10000</x:v>
      </x:c>
      <x:c r="C35" t="str">
        <x:v>Planning estimate — replace with actuals when known</x:v>
      </x:c>
    </x:row>
    <x:row r="36">
      <x:c r="A36" t="str">
        <x:v>Bonus invested after villa</x:v>
      </x:c>
      <x:c r="B36" s="4" t="n">
        <x:v>0.7</x:v>
      </x:c>
      <x:c r="C36" t="str">
        <x:v>Planning estimate — replace with actuals when known</x:v>
      </x:c>
    </x:row>
    <x:row r="37">
      <x:c r="A37" t="str">
        <x:v>Withdrawal per year</x:v>
      </x:c>
      <x:c r="B37" s="4" t="n">
        <x:v>0</x:v>
      </x:c>
      <x:c r="C37" t="str">
        <x:v>Planning estimate — replace with actuals when known</x:v>
      </x:c>
    </x:row>
    <x:row r="40">
      <x:c r="A40" t="str">
        <x:v>Car 1 monthly payment</x:v>
      </x:c>
      <x:c r="B40" t="n">
        <x:f>PMT(Inputs!$B$19/12,Inputs!$B$20,-(Inputs!$B$16-Inputs!$B$17),Inputs!$B$16*Inputs!$B$18)</x:f>
        <x:v>3590.2538286494737</x:v>
      </x:c>
    </x:row>
    <x:row r="41">
      <x:c r="A41" t="str">
        <x:v>Car 1 payoff after 48 months</x:v>
      </x:c>
      <x:c r="B41" t="n">
        <x:f>-FV(Inputs!$B$19/12,48,Inputs!B40,-(Inputs!$B$16-Inputs!$B$17))</x:f>
        <x:v>-173581.66289093829</x:v>
      </x:c>
    </x:row>
    <x:row r="42">
      <x:c r="A42" t="str">
        <x:v>Mortgage payment</x:v>
      </x:c>
      <x:c r="B42" t="n">
        <x:f>PMT(Inputs!$B$30/12,Inputs!$B$31*12,-(Inputs!$B$27-Inputs!$B$28))</x:f>
        <x:v>9084.624021552047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 ht="29" customHeight="1">
      <x:c r="A1" s="7" t="str">
        <x:v>Year</x:v>
      </x:c>
      <x:c r="B1" s="7" t="str">
        <x:v>Net salary</x:v>
      </x:c>
      <x:c r="C1" s="7" t="str">
        <x:v>Net bonus</x:v>
      </x:c>
      <x:c r="D1" s="7" t="str">
        <x:v>Living</x:v>
      </x:c>
      <x:c r="E1" s="7" t="str">
        <x:v>Car 1 down</x:v>
      </x:c>
      <x:c r="F1" s="7" t="str">
        <x:v>Car 1 payments</x:v>
      </x:c>
      <x:c r="G1" s="7" t="str">
        <x:v>Car 1 resale</x:v>
      </x:c>
      <x:c r="H1" s="7" t="str">
        <x:v>Car 1 payoff</x:v>
      </x:c>
      <x:c r="I1" s="7" t="str">
        <x:v>Car 2 cash</x:v>
      </x:c>
      <x:c r="J1" s="7" t="str">
        <x:v>Marriage</x:v>
      </x:c>
      <x:c r="K1" s="7" t="str">
        <x:v>Villa down + fees</x:v>
      </x:c>
      <x:c r="L1" s="7" t="str">
        <x:v>Mortgage payments</x:v>
      </x:c>
      <x:c r="M1" s="7" t="str">
        <x:v>Operating surplus</x:v>
      </x:c>
      <x:c r="N1" s="7" t="str">
        <x:v>Cash end</x:v>
      </x:c>
      <x:c r="O1" s="7" t="str">
        <x:v>Portfolio seed</x:v>
      </x:c>
      <x:c r="P1" s="7" t="str">
        <x:v>Portfolio contributions</x:v>
      </x:c>
      <x:c r="Q1" s="7" t="str">
        <x:v>Portfolio end</x:v>
      </x:c>
      <x:c r="R1" s="7" t="str">
        <x:v>Total liquid</x:v>
      </x:c>
      <x:c r="S1" s="7" t="str">
        <x:v>Reserve status</x:v>
      </x:c>
    </x:row>
    <x:row r="2">
      <x:c r="A2" t="n">
        <x:v>2028</x:v>
      </x:c>
      <x:c r="B2" s="10" t="n">
        <x:f>IF(A2=2028,6*Inputs!$B$4+6*Inputs!$B$5*Inputs!$B$6,12*(Inputs!$B$5*(1+Inputs!$B$7)^(A2-2028)*(1+IF(A2&gt;=Inputs!$B$8,Inputs!$B$9,0)))*Inputs!$B$6)</x:f>
        <x:v>216675</x:v>
      </x:c>
      <x:c r="C2" s="10" t="n">
        <x:f>IF(A2=2028,Inputs!$B$3,IF(A2&gt;=Inputs!$B$11,(Inputs!$B$5*(1+Inputs!$B$7)^(A2-2028)*(1+IF(A2&gt;=Inputs!$B$8,Inputs!$B$9,0)))*Inputs!$B$10*Inputs!$B$6,0))</x:f>
        <x:v>60500</x:v>
      </x:c>
      <x:c r="D2" s="10" t="n">
        <x:f>IF(A2&lt;Inputs!$B$14,12*Inputs!$B$12,12*Inputs!$B$13)</x:f>
        <x:v>78000</x:v>
      </x:c>
      <x:c r="E2" s="10" t="n">
        <x:f>IF(A2=Inputs!$B$21,Inputs!$B$17,0)</x:f>
        <x:v>60500</x:v>
      </x:c>
      <x:c r="F2" s="10" t="n">
        <x:f>IF(A2=Inputs!$B$21,6*Inputs!B40,IF(AND(A2&gt;Inputs!$B$21,A2&lt;Inputs!$B$22),12*Inputs!B40,IF(A2=Inputs!$B$22,6*Inputs!B40,0)))</x:f>
        <x:v>21541.52297189684</x:v>
      </x:c>
      <x:c r="G2" s="10" t="n">
        <x:f>IF(A2=Inputs!$B$22,Inputs!$B$23,0)</x:f>
        <x:v>0</x:v>
      </x:c>
      <x:c r="H2" s="10" t="n">
        <x:f>IF(A2=Inputs!$B$22,Inputs!B41,0)</x:f>
        <x:v>0</x:v>
      </x:c>
      <x:c r="I2" s="10" t="n">
        <x:f>IF(A2=Inputs!$B$24,Inputs!$B$25,0)</x:f>
        <x:v>0</x:v>
      </x:c>
      <x:c r="J2" s="10" t="n">
        <x:f>IF(A2=Inputs!$B$14,Inputs!$B$15,0)</x:f>
        <x:v>0</x:v>
      </x:c>
      <x:c r="K2" s="10" t="n">
        <x:f>IF(A2=Inputs!$B$26,Inputs!$B$28+Inputs!$B$29,0)</x:f>
        <x:v>0</x:v>
      </x:c>
      <x:c r="L2" s="10" t="n">
        <x:f>IF(A2&gt;Inputs!$B$26,12*Inputs!B42,0)</x:f>
        <x:v>0</x:v>
      </x:c>
      <x:c r="M2" s="10" t="n">
        <x:f>B2+C2-SUM(D2:F2)+G2-SUM(H2:L2)</x:f>
        <x:v>117133.47702810317</x:v>
      </x:c>
      <x:c r="N2" s="10" t="n">
        <x:f>Inputs!$B$2+M2-O2-P2</x:f>
        <x:v>117133.47702810317</x:v>
      </x:c>
      <x:c r="O2" s="10" t="n">
        <x:f>IF(A2=Inputs!$B$26,MAX(0,MIN(Inputs!$B$34,Inputs!$B$2+M2-Inputs!$B$32)),0)</x:f>
        <x:v>0</x:v>
      </x:c>
      <x:c r="P2" s="10" t="n">
        <x:f>0</x:f>
        <x:v>0</x:v>
      </x:c>
      <x:c r="Q2" s="10" t="n">
        <x:f>O2+P2</x:f>
        <x:v>0</x:v>
      </x:c>
      <x:c r="R2" s="10" t="n">
        <x:f>N2+Q2</x:f>
        <x:v>117133.47702810317</x:v>
      </x:c>
      <x:c r="S2" t="str">
        <x:f>IF(N2&lt;0,"DEFICIT",IF(N2&lt;Inputs!$B$32,"LOW RESERVE","OK"))</x:f>
        <x:v>OK</x:v>
      </x:c>
    </x:row>
    <x:row r="3">
      <x:c r="A3" t="n">
        <x:v>2029</x:v>
      </x:c>
      <x:c r="B3" s="10" t="n">
        <x:f>IF(A3=2028,6*Inputs!$B$4+6*Inputs!$B$5*Inputs!$B$6,12*(Inputs!$B$5*(1+Inputs!$B$7)^(A3-2028)*(1+IF(A3&gt;=Inputs!$B$8,Inputs!$B$9,0)))*Inputs!$B$6)</x:f>
        <x:v>283500</x:v>
      </x:c>
      <x:c r="C3" s="10" t="n">
        <x:f>IF(A3=2028,Inputs!$B$3,IF(A3&gt;=Inputs!$B$11,(Inputs!$B$5*(1+Inputs!$B$7)^(A3-2028)*(1+IF(A3&gt;=Inputs!$B$8,Inputs!$B$9,0)))*Inputs!$B$10*Inputs!$B$6,0))</x:f>
        <x:v>70875</x:v>
      </x:c>
      <x:c r="D3" s="10" t="n">
        <x:f>IF(A3&lt;Inputs!$B$14,12*Inputs!$B$12,12*Inputs!$B$13)</x:f>
        <x:v>78000</x:v>
      </x:c>
      <x:c r="E3" s="10" t="n">
        <x:f>IF(A3=Inputs!$B$21,Inputs!$B$17,0)</x:f>
        <x:v>0</x:v>
      </x:c>
      <x:c r="F3" s="10" t="n">
        <x:f>IF(A3=Inputs!$B$21,6*Inputs!B40,IF(AND(A3&gt;Inputs!$B$21,A3&lt;Inputs!$B$22),12*Inputs!B40,IF(A3=Inputs!$B$22,6*Inputs!B40,0)))</x:f>
        <x:v>43083.04594379368</x:v>
      </x:c>
      <x:c r="G3" s="10" t="n">
        <x:f>IF(A3=Inputs!$B$22,Inputs!$B$23,0)</x:f>
        <x:v>0</x:v>
      </x:c>
      <x:c r="H3" s="10" t="n">
        <x:f>IF(A3=Inputs!$B$22,Inputs!B41,0)</x:f>
        <x:v>0</x:v>
      </x:c>
      <x:c r="I3" s="10" t="n">
        <x:f>IF(A3=Inputs!$B$24,Inputs!$B$25,0)</x:f>
        <x:v>0</x:v>
      </x:c>
      <x:c r="J3" s="10" t="n">
        <x:f>IF(A3=Inputs!$B$14,Inputs!$B$15,0)</x:f>
        <x:v>0</x:v>
      </x:c>
      <x:c r="K3" s="10" t="n">
        <x:f>IF(A3=Inputs!$B$26,Inputs!$B$28+Inputs!$B$29,0)</x:f>
        <x:v>0</x:v>
      </x:c>
      <x:c r="L3" s="10" t="n">
        <x:f>IF(A3&gt;Inputs!$B$26,12*Inputs!B42,0)</x:f>
        <x:v>0</x:v>
      </x:c>
      <x:c r="M3" s="10" t="n">
        <x:f>B3+C3-SUM(D3:F3)+G3-SUM(H3:L3)</x:f>
        <x:v>233291.95405620633</x:v>
      </x:c>
      <x:c r="N3" s="10" t="n">
        <x:f>N2+M3-O3-P3</x:f>
        <x:v>350425.4310843095</x:v>
      </x:c>
      <x:c r="O3" s="10" t="n">
        <x:f>IF(A3=Inputs!$B$26,MAX(0,MIN(Inputs!$B$34,N2+M3-Inputs!$B$32)),0)</x:f>
        <x:v>0</x:v>
      </x:c>
      <x:c r="P3" s="10" t="n">
        <x:f>IF(A3&gt;Inputs!$B$26,MAX(0,MIN(12*Inputs!$B$35+C3*Inputs!$B$36,N2+M3-O3-Inputs!$B$32)),0)</x:f>
        <x:v>0</x:v>
      </x:c>
      <x:c r="Q3" s="10" t="n">
        <x:f>Q2*(1+Inputs!$B$33)+O3+P3-IF(A3&gt;2038,Inputs!$B$37,0)</x:f>
        <x:v>0</x:v>
      </x:c>
      <x:c r="R3" s="10" t="n">
        <x:f>N3+Q3</x:f>
        <x:v>350425.4310843095</x:v>
      </x:c>
      <x:c r="S3" t="str">
        <x:f>IF(N3&lt;0,"DEFICIT",IF(N3&lt;Inputs!$B$32,"LOW RESERVE","OK"))</x:f>
        <x:v>OK</x:v>
      </x:c>
    </x:row>
    <x:row r="4">
      <x:c r="A4" t="n">
        <x:v>2030</x:v>
      </x:c>
      <x:c r="B4" s="10" t="n">
        <x:f>IF(A4=2028,6*Inputs!$B$4+6*Inputs!$B$5*Inputs!$B$6,12*(Inputs!$B$5*(1+Inputs!$B$7)^(A4-2028)*(1+IF(A4&gt;=Inputs!$B$8,Inputs!$B$9,0)))*Inputs!$B$6)</x:f>
        <x:v>297675</x:v>
      </x:c>
      <x:c r="C4" s="10" t="n">
        <x:f>IF(A4=2028,Inputs!$B$3,IF(A4&gt;=Inputs!$B$11,(Inputs!$B$5*(1+Inputs!$B$7)^(A4-2028)*(1+IF(A4&gt;=Inputs!$B$8,Inputs!$B$9,0)))*Inputs!$B$10*Inputs!$B$6,0))</x:f>
        <x:v>74418.75</x:v>
      </x:c>
      <x:c r="D4" s="10" t="n">
        <x:f>IF(A4&lt;Inputs!$B$14,12*Inputs!$B$12,12*Inputs!$B$13)</x:f>
        <x:v>78000</x:v>
      </x:c>
      <x:c r="E4" s="10" t="n">
        <x:f>IF(A4=Inputs!$B$21,Inputs!$B$17,0)</x:f>
        <x:v>0</x:v>
      </x:c>
      <x:c r="F4" s="10" t="n">
        <x:f>IF(A4=Inputs!$B$21,6*Inputs!B40,IF(AND(A4&gt;Inputs!$B$21,A4&lt;Inputs!$B$22),12*Inputs!B40,IF(A4=Inputs!$B$22,6*Inputs!B40,0)))</x:f>
        <x:v>43083.04594379368</x:v>
      </x:c>
      <x:c r="G4" s="10" t="n">
        <x:f>IF(A4=Inputs!$B$22,Inputs!$B$23,0)</x:f>
        <x:v>0</x:v>
      </x:c>
      <x:c r="H4" s="10" t="n">
        <x:f>IF(A4=Inputs!$B$22,Inputs!B41,0)</x:f>
        <x:v>0</x:v>
      </x:c>
      <x:c r="I4" s="10" t="n">
        <x:f>IF(A4=Inputs!$B$24,Inputs!$B$25,0)</x:f>
        <x:v>0</x:v>
      </x:c>
      <x:c r="J4" s="10" t="n">
        <x:f>IF(A4=Inputs!$B$14,Inputs!$B$15,0)</x:f>
        <x:v>0</x:v>
      </x:c>
      <x:c r="K4" s="10" t="n">
        <x:f>IF(A4=Inputs!$B$26,Inputs!$B$28+Inputs!$B$29,0)</x:f>
        <x:v>0</x:v>
      </x:c>
      <x:c r="L4" s="10" t="n">
        <x:f>IF(A4&gt;Inputs!$B$26,12*Inputs!B42,0)</x:f>
        <x:v>0</x:v>
      </x:c>
      <x:c r="M4" s="10" t="n">
        <x:f>B4+C4-SUM(D4:F4)+G4-SUM(H4:L4)</x:f>
        <x:v>251010.70405620633</x:v>
      </x:c>
      <x:c r="N4" s="10" t="n">
        <x:f>N3+M4-O4-P4</x:f>
        <x:v>601436.1351405159</x:v>
      </x:c>
      <x:c r="O4" s="10" t="n">
        <x:f>IF(A4=Inputs!$B$26,MAX(0,MIN(Inputs!$B$34,N3+M4-Inputs!$B$32)),0)</x:f>
        <x:v>0</x:v>
      </x:c>
      <x:c r="P4" s="10" t="n">
        <x:f>IF(A4&gt;Inputs!$B$26,MAX(0,MIN(12*Inputs!$B$35+C4*Inputs!$B$36,N3+M4-O4-Inputs!$B$32)),0)</x:f>
        <x:v>0</x:v>
      </x:c>
      <x:c r="Q4" s="10" t="n">
        <x:f>Q3*(1+Inputs!$B$33)+O4+P4-IF(A4&gt;2038,Inputs!$B$37,0)</x:f>
        <x:v>0</x:v>
      </x:c>
      <x:c r="R4" s="10" t="n">
        <x:f>N4+Q4</x:f>
        <x:v>601436.1351405159</x:v>
      </x:c>
      <x:c r="S4" t="str">
        <x:f>IF(N4&lt;0,"DEFICIT",IF(N4&lt;Inputs!$B$32,"LOW RESERVE","OK"))</x:f>
        <x:v>OK</x:v>
      </x:c>
    </x:row>
    <x:row r="5">
      <x:c r="A5" t="n">
        <x:v>2031</x:v>
      </x:c>
      <x:c r="B5" s="10" t="n">
        <x:f>IF(A5=2028,6*Inputs!$B$4+6*Inputs!$B$5*Inputs!$B$6,12*(Inputs!$B$5*(1+Inputs!$B$7)^(A5-2028)*(1+IF(A5&gt;=Inputs!$B$8,Inputs!$B$9,0)))*Inputs!$B$6)</x:f>
        <x:v>328186.68750000006</x:v>
      </x:c>
      <x:c r="C5" s="10" t="n">
        <x:f>IF(A5=2028,Inputs!$B$3,IF(A5&gt;=Inputs!$B$11,(Inputs!$B$5*(1+Inputs!$B$7)^(A5-2028)*(1+IF(A5&gt;=Inputs!$B$8,Inputs!$B$9,0)))*Inputs!$B$10*Inputs!$B$6,0))</x:f>
        <x:v>82046.67187500001</x:v>
      </x:c>
      <x:c r="D5" s="10" t="n">
        <x:f>IF(A5&lt;Inputs!$B$14,12*Inputs!$B$12,12*Inputs!$B$13)</x:f>
        <x:v>132000</x:v>
      </x:c>
      <x:c r="E5" s="10" t="n">
        <x:f>IF(A5=Inputs!$B$21,Inputs!$B$17,0)</x:f>
        <x:v>0</x:v>
      </x:c>
      <x:c r="F5" s="10" t="n">
        <x:f>IF(A5=Inputs!$B$21,6*Inputs!B40,IF(AND(A5&gt;Inputs!$B$21,A5&lt;Inputs!$B$22),12*Inputs!B40,IF(A5=Inputs!$B$22,6*Inputs!B40,0)))</x:f>
        <x:v>43083.04594379368</x:v>
      </x:c>
      <x:c r="G5" s="10" t="n">
        <x:f>IF(A5=Inputs!$B$22,Inputs!$B$23,0)</x:f>
        <x:v>0</x:v>
      </x:c>
      <x:c r="H5" s="10" t="n">
        <x:f>IF(A5=Inputs!$B$22,Inputs!B41,0)</x:f>
        <x:v>0</x:v>
      </x:c>
      <x:c r="I5" s="10" t="n">
        <x:f>IF(A5=Inputs!$B$24,Inputs!$B$25,0)</x:f>
        <x:v>0</x:v>
      </x:c>
      <x:c r="J5" s="10" t="n">
        <x:f>IF(A5=Inputs!$B$14,Inputs!$B$15,0)</x:f>
        <x:v>200000</x:v>
      </x:c>
      <x:c r="K5" s="10" t="n">
        <x:f>IF(A5=Inputs!$B$26,Inputs!$B$28+Inputs!$B$29,0)</x:f>
        <x:v>0</x:v>
      </x:c>
      <x:c r="L5" s="10" t="n">
        <x:f>IF(A5&gt;Inputs!$B$26,12*Inputs!B42,0)</x:f>
        <x:v>0</x:v>
      </x:c>
      <x:c r="M5" s="10" t="n">
        <x:f>B5+C5-SUM(D5:F5)+G5-SUM(H5:L5)</x:f>
        <x:v>35150.31343120639</x:v>
      </x:c>
      <x:c r="N5" s="10" t="n">
        <x:f>N4+M5-O5-P5</x:f>
        <x:v>636586.4485717223</x:v>
      </x:c>
      <x:c r="O5" s="10" t="n">
        <x:f>IF(A5=Inputs!$B$26,MAX(0,MIN(Inputs!$B$34,N4+M5-Inputs!$B$32)),0)</x:f>
        <x:v>0</x:v>
      </x:c>
      <x:c r="P5" s="10" t="n">
        <x:f>IF(A5&gt;Inputs!$B$26,MAX(0,MIN(12*Inputs!$B$35+C5*Inputs!$B$36,N4+M5-O5-Inputs!$B$32)),0)</x:f>
        <x:v>0</x:v>
      </x:c>
      <x:c r="Q5" s="10" t="n">
        <x:f>Q4*(1+Inputs!$B$33)+O5+P5-IF(A5&gt;2038,Inputs!$B$37,0)</x:f>
        <x:v>0</x:v>
      </x:c>
      <x:c r="R5" s="10" t="n">
        <x:f>N5+Q5</x:f>
        <x:v>636586.4485717223</x:v>
      </x:c>
      <x:c r="S5" t="str">
        <x:f>IF(N5&lt;0,"DEFICIT",IF(N5&lt;Inputs!$B$32,"LOW RESERVE","OK"))</x:f>
        <x:v>OK</x:v>
      </x:c>
    </x:row>
    <x:row r="6">
      <x:c r="A6" t="n">
        <x:v>2032</x:v>
      </x:c>
      <x:c r="B6" s="10" t="n">
        <x:f>IF(A6=2028,6*Inputs!$B$4+6*Inputs!$B$5*Inputs!$B$6,12*(Inputs!$B$5*(1+Inputs!$B$7)^(A6-2028)*(1+IF(A6&gt;=Inputs!$B$8,Inputs!$B$9,0)))*Inputs!$B$6)</x:f>
        <x:v>344596.02187500003</x:v>
      </x:c>
      <x:c r="C6" s="10" t="n">
        <x:f>IF(A6=2028,Inputs!$B$3,IF(A6&gt;=Inputs!$B$11,(Inputs!$B$5*(1+Inputs!$B$7)^(A6-2028)*(1+IF(A6&gt;=Inputs!$B$8,Inputs!$B$9,0)))*Inputs!$B$10*Inputs!$B$6,0))</x:f>
        <x:v>86149.00546875001</x:v>
      </x:c>
      <x:c r="D6" s="10" t="n">
        <x:f>IF(A6&lt;Inputs!$B$14,12*Inputs!$B$12,12*Inputs!$B$13)</x:f>
        <x:v>132000</x:v>
      </x:c>
      <x:c r="E6" s="10" t="n">
        <x:f>IF(A6=Inputs!$B$21,Inputs!$B$17,0)</x:f>
        <x:v>0</x:v>
      </x:c>
      <x:c r="F6" s="10" t="n">
        <x:f>IF(A6=Inputs!$B$21,6*Inputs!B40,IF(AND(A6&gt;Inputs!$B$21,A6&lt;Inputs!$B$22),12*Inputs!B40,IF(A6=Inputs!$B$22,6*Inputs!B40,0)))</x:f>
        <x:v>21541.52297189684</x:v>
      </x:c>
      <x:c r="G6" s="10" t="n">
        <x:f>IF(A6=Inputs!$B$22,Inputs!$B$23,0)</x:f>
        <x:v>180000</x:v>
      </x:c>
      <x:c r="H6" s="10" t="n">
        <x:f>IF(A6=Inputs!$B$22,Inputs!B41,0)</x:f>
        <x:v>-173581.66289093829</x:v>
      </x:c>
      <x:c r="I6" s="10" t="n">
        <x:f>IF(A6=Inputs!$B$24,Inputs!$B$25,0)</x:f>
        <x:v>500000</x:v>
      </x:c>
      <x:c r="J6" s="10" t="n">
        <x:f>IF(A6=Inputs!$B$14,Inputs!$B$15,0)</x:f>
        <x:v>0</x:v>
      </x:c>
      <x:c r="K6" s="10" t="n">
        <x:f>IF(A6=Inputs!$B$26,Inputs!$B$28+Inputs!$B$29,0)</x:f>
        <x:v>0</x:v>
      </x:c>
      <x:c r="L6" s="10" t="n">
        <x:f>IF(A6&gt;Inputs!$B$26,12*Inputs!B42,0)</x:f>
        <x:v>0</x:v>
      </x:c>
      <x:c r="M6" s="10" t="n">
        <x:f>B6+C6-SUM(D6:F6)+G6-SUM(H6:L6)</x:f>
        <x:v>130785.16726279148</x:v>
      </x:c>
      <x:c r="N6" s="10" t="n">
        <x:f>N5+M6-O6-P6</x:f>
        <x:v>767371.6158345137</x:v>
      </x:c>
      <x:c r="O6" s="10" t="n">
        <x:f>IF(A6=Inputs!$B$26,MAX(0,MIN(Inputs!$B$34,N5+M6-Inputs!$B$32)),0)</x:f>
        <x:v>0</x:v>
      </x:c>
      <x:c r="P6" s="10" t="n">
        <x:f>IF(A6&gt;Inputs!$B$26,MAX(0,MIN(12*Inputs!$B$35+C6*Inputs!$B$36,N5+M6-O6-Inputs!$B$32)),0)</x:f>
        <x:v>0</x:v>
      </x:c>
      <x:c r="Q6" s="10" t="n">
        <x:f>Q5*(1+Inputs!$B$33)+O6+P6-IF(A6&gt;2038,Inputs!$B$37,0)</x:f>
        <x:v>0</x:v>
      </x:c>
      <x:c r="R6" s="10" t="n">
        <x:f>N6+Q6</x:f>
        <x:v>767371.6158345137</x:v>
      </x:c>
      <x:c r="S6" t="str">
        <x:f>IF(N6&lt;0,"DEFICIT",IF(N6&lt;Inputs!$B$32,"LOW RESERVE","OK"))</x:f>
        <x:v>OK</x:v>
      </x:c>
    </x:row>
    <x:row r="7">
      <x:c r="A7" t="n">
        <x:v>2033</x:v>
      </x:c>
      <x:c r="B7" s="10" t="n">
        <x:f>IF(A7=2028,6*Inputs!$B$4+6*Inputs!$B$5*Inputs!$B$6,12*(Inputs!$B$5*(1+Inputs!$B$7)^(A7-2028)*(1+IF(A7&gt;=Inputs!$B$8,Inputs!$B$9,0)))*Inputs!$B$6)</x:f>
        <x:v>361825.8229687501</x:v>
      </x:c>
      <x:c r="C7" s="10" t="n">
        <x:f>IF(A7=2028,Inputs!$B$3,IF(A7&gt;=Inputs!$B$11,(Inputs!$B$5*(1+Inputs!$B$7)^(A7-2028)*(1+IF(A7&gt;=Inputs!$B$8,Inputs!$B$9,0)))*Inputs!$B$10*Inputs!$B$6,0))</x:f>
        <x:v>90456.45574218752</x:v>
      </x:c>
      <x:c r="D7" s="10" t="n">
        <x:f>IF(A7&lt;Inputs!$B$14,12*Inputs!$B$12,12*Inputs!$B$13)</x:f>
        <x:v>132000</x:v>
      </x:c>
      <x:c r="E7" s="10" t="n">
        <x:f>IF(A7=Inputs!$B$21,Inputs!$B$17,0)</x:f>
        <x:v>0</x:v>
      </x:c>
      <x:c r="F7" s="10" t="n">
        <x:f>IF(A7=Inputs!$B$21,6*Inputs!B40,IF(AND(A7&gt;Inputs!$B$21,A7&lt;Inputs!$B$22),12*Inputs!B40,IF(A7=Inputs!$B$22,6*Inputs!B40,0)))</x:f>
        <x:v>0</x:v>
      </x:c>
      <x:c r="G7" s="10" t="n">
        <x:f>IF(A7=Inputs!$B$22,Inputs!$B$23,0)</x:f>
        <x:v>0</x:v>
      </x:c>
      <x:c r="H7" s="10" t="n">
        <x:f>IF(A7=Inputs!$B$22,Inputs!B41,0)</x:f>
        <x:v>0</x:v>
      </x:c>
      <x:c r="I7" s="10" t="n">
        <x:f>IF(A7=Inputs!$B$24,Inputs!$B$25,0)</x:f>
        <x:v>0</x:v>
      </x:c>
      <x:c r="J7" s="10" t="n">
        <x:f>IF(A7=Inputs!$B$14,Inputs!$B$15,0)</x:f>
        <x:v>0</x:v>
      </x:c>
      <x:c r="K7" s="10" t="n">
        <x:f>IF(A7=Inputs!$B$26,Inputs!$B$28+Inputs!$B$29,0)</x:f>
        <x:v>0</x:v>
      </x:c>
      <x:c r="L7" s="10" t="n">
        <x:f>IF(A7&gt;Inputs!$B$26,12*Inputs!B42,0)</x:f>
        <x:v>0</x:v>
      </x:c>
      <x:c r="M7" s="10" t="n">
        <x:f>B7+C7-SUM(D7:F7)+G7-SUM(H7:L7)</x:f>
        <x:v>320282.2787109376</x:v>
      </x:c>
      <x:c r="N7" s="10" t="n">
        <x:f>N6+M7-O7-P7</x:f>
        <x:v>1087653.8945454513</x:v>
      </x:c>
      <x:c r="O7" s="10" t="n">
        <x:f>IF(A7=Inputs!$B$26,MAX(0,MIN(Inputs!$B$34,N6+M7-Inputs!$B$32)),0)</x:f>
        <x:v>0</x:v>
      </x:c>
      <x:c r="P7" s="10" t="n">
        <x:f>IF(A7&gt;Inputs!$B$26,MAX(0,MIN(12*Inputs!$B$35+C7*Inputs!$B$36,N6+M7-O7-Inputs!$B$32)),0)</x:f>
        <x:v>0</x:v>
      </x:c>
      <x:c r="Q7" s="10" t="n">
        <x:f>Q6*(1+Inputs!$B$33)+O7+P7-IF(A7&gt;2038,Inputs!$B$37,0)</x:f>
        <x:v>0</x:v>
      </x:c>
      <x:c r="R7" s="10" t="n">
        <x:f>N7+Q7</x:f>
        <x:v>1087653.8945454513</x:v>
      </x:c>
      <x:c r="S7" t="str">
        <x:f>IF(N7&lt;0,"DEFICIT",IF(N7&lt;Inputs!$B$32,"LOW RESERVE","OK"))</x:f>
        <x:v>OK</x:v>
      </x:c>
    </x:row>
    <x:row r="8">
      <x:c r="A8" t="n">
        <x:v>2034</x:v>
      </x:c>
      <x:c r="B8" s="10" t="n">
        <x:f>IF(A8=2028,6*Inputs!$B$4+6*Inputs!$B$5*Inputs!$B$6,12*(Inputs!$B$5*(1+Inputs!$B$7)^(A8-2028)*(1+IF(A8&gt;=Inputs!$B$8,Inputs!$B$9,0)))*Inputs!$B$6)</x:f>
        <x:v>379917.11411718756</x:v>
      </x:c>
      <x:c r="C8" s="10" t="n">
        <x:f>IF(A8=2028,Inputs!$B$3,IF(A8&gt;=Inputs!$B$11,(Inputs!$B$5*(1+Inputs!$B$7)^(A8-2028)*(1+IF(A8&gt;=Inputs!$B$8,Inputs!$B$9,0)))*Inputs!$B$10*Inputs!$B$6,0))</x:f>
        <x:v>94979.27852929689</x:v>
      </x:c>
      <x:c r="D8" s="10" t="n">
        <x:f>IF(A8&lt;Inputs!$B$14,12*Inputs!$B$12,12*Inputs!$B$13)</x:f>
        <x:v>132000</x:v>
      </x:c>
      <x:c r="E8" s="10" t="n">
        <x:f>IF(A8=Inputs!$B$21,Inputs!$B$17,0)</x:f>
        <x:v>0</x:v>
      </x:c>
      <x:c r="F8" s="10" t="n">
        <x:f>IF(A8=Inputs!$B$21,6*Inputs!B40,IF(AND(A8&gt;Inputs!$B$21,A8&lt;Inputs!$B$22),12*Inputs!B40,IF(A8=Inputs!$B$22,6*Inputs!B40,0)))</x:f>
        <x:v>0</x:v>
      </x:c>
      <x:c r="G8" s="10" t="n">
        <x:f>IF(A8=Inputs!$B$22,Inputs!$B$23,0)</x:f>
        <x:v>0</x:v>
      </x:c>
      <x:c r="H8" s="10" t="n">
        <x:f>IF(A8=Inputs!$B$22,Inputs!B41,0)</x:f>
        <x:v>0</x:v>
      </x:c>
      <x:c r="I8" s="10" t="n">
        <x:f>IF(A8=Inputs!$B$24,Inputs!$B$25,0)</x:f>
        <x:v>0</x:v>
      </x:c>
      <x:c r="J8" s="10" t="n">
        <x:f>IF(A8=Inputs!$B$14,Inputs!$B$15,0)</x:f>
        <x:v>0</x:v>
      </x:c>
      <x:c r="K8" s="10" t="n">
        <x:f>IF(A8=Inputs!$B$26,Inputs!$B$28+Inputs!$B$29,0)</x:f>
        <x:v>0</x:v>
      </x:c>
      <x:c r="L8" s="10" t="n">
        <x:f>IF(A8&gt;Inputs!$B$26,12*Inputs!B42,0)</x:f>
        <x:v>0</x:v>
      </x:c>
      <x:c r="M8" s="10" t="n">
        <x:f>B8+C8-SUM(D8:F8)+G8-SUM(H8:L8)</x:f>
        <x:v>342896.3926464844</x:v>
      </x:c>
      <x:c r="N8" s="10" t="n">
        <x:f>N7+M8-O8-P8</x:f>
        <x:v>1430550.2871919358</x:v>
      </x:c>
      <x:c r="O8" s="10" t="n">
        <x:f>IF(A8=Inputs!$B$26,MAX(0,MIN(Inputs!$B$34,N7+M8-Inputs!$B$32)),0)</x:f>
        <x:v>0</x:v>
      </x:c>
      <x:c r="P8" s="10" t="n">
        <x:f>IF(A8&gt;Inputs!$B$26,MAX(0,MIN(12*Inputs!$B$35+C8*Inputs!$B$36,N7+M8-O8-Inputs!$B$32)),0)</x:f>
        <x:v>0</x:v>
      </x:c>
      <x:c r="Q8" s="10" t="n">
        <x:f>Q7*(1+Inputs!$B$33)+O8+P8-IF(A8&gt;2038,Inputs!$B$37,0)</x:f>
        <x:v>0</x:v>
      </x:c>
      <x:c r="R8" s="10" t="n">
        <x:f>N8+Q8</x:f>
        <x:v>1430550.2871919358</x:v>
      </x:c>
      <x:c r="S8" t="str">
        <x:f>IF(N8&lt;0,"DEFICIT",IF(N8&lt;Inputs!$B$32,"LOW RESERVE","OK"))</x:f>
        <x:v>OK</x:v>
      </x:c>
    </x:row>
    <x:row r="9">
      <x:c r="A9" t="n">
        <x:v>2035</x:v>
      </x:c>
      <x:c r="B9" s="10" t="n">
        <x:f>IF(A9=2028,6*Inputs!$B$4+6*Inputs!$B$5*Inputs!$B$6,12*(Inputs!$B$5*(1+Inputs!$B$7)^(A9-2028)*(1+IF(A9&gt;=Inputs!$B$8,Inputs!$B$9,0)))*Inputs!$B$6)</x:f>
        <x:v>398912.969823047</x:v>
      </x:c>
      <x:c r="C9" s="10" t="n">
        <x:f>IF(A9=2028,Inputs!$B$3,IF(A9&gt;=Inputs!$B$11,(Inputs!$B$5*(1+Inputs!$B$7)^(A9-2028)*(1+IF(A9&gt;=Inputs!$B$8,Inputs!$B$9,0)))*Inputs!$B$10*Inputs!$B$6,0))</x:f>
        <x:v>99728.24245576175</x:v>
      </x:c>
      <x:c r="D9" s="10" t="n">
        <x:f>IF(A9&lt;Inputs!$B$14,12*Inputs!$B$12,12*Inputs!$B$13)</x:f>
        <x:v>132000</x:v>
      </x:c>
      <x:c r="E9" s="10" t="n">
        <x:f>IF(A9=Inputs!$B$21,Inputs!$B$17,0)</x:f>
        <x:v>0</x:v>
      </x:c>
      <x:c r="F9" s="10" t="n">
        <x:f>IF(A9=Inputs!$B$21,6*Inputs!B40,IF(AND(A9&gt;Inputs!$B$21,A9&lt;Inputs!$B$22),12*Inputs!B40,IF(A9=Inputs!$B$22,6*Inputs!B40,0)))</x:f>
        <x:v>0</x:v>
      </x:c>
      <x:c r="G9" s="10" t="n">
        <x:f>IF(A9=Inputs!$B$22,Inputs!$B$23,0)</x:f>
        <x:v>0</x:v>
      </x:c>
      <x:c r="H9" s="10" t="n">
        <x:f>IF(A9=Inputs!$B$22,Inputs!B41,0)</x:f>
        <x:v>0</x:v>
      </x:c>
      <x:c r="I9" s="10" t="n">
        <x:f>IF(A9=Inputs!$B$24,Inputs!$B$25,0)</x:f>
        <x:v>0</x:v>
      </x:c>
      <x:c r="J9" s="10" t="n">
        <x:f>IF(A9=Inputs!$B$14,Inputs!$B$15,0)</x:f>
        <x:v>0</x:v>
      </x:c>
      <x:c r="K9" s="10" t="n">
        <x:f>IF(A9=Inputs!$B$26,Inputs!$B$28+Inputs!$B$29,0)</x:f>
        <x:v>1000000</x:v>
      </x:c>
      <x:c r="L9" s="10" t="n">
        <x:f>IF(A9&gt;Inputs!$B$26,12*Inputs!B42,0)</x:f>
        <x:v>0</x:v>
      </x:c>
      <x:c r="M9" s="10" t="n">
        <x:f>B9+C9-SUM(D9:F9)+G9-SUM(H9:L9)</x:f>
        <x:v>-633358.7877211913</x:v>
      </x:c>
      <x:c r="N9" s="10" t="n">
        <x:f>N8+M9-O9-P9</x:f>
        <x:v>447191.4994707445</x:v>
      </x:c>
      <x:c r="O9" s="10" t="n">
        <x:f>IF(A9=Inputs!$B$26,MAX(0,MIN(Inputs!$B$34,N8+M9-Inputs!$B$32)),0)</x:f>
        <x:v>350000</x:v>
      </x:c>
      <x:c r="P9" s="10" t="n">
        <x:f>IF(A9&gt;Inputs!$B$26,MAX(0,MIN(12*Inputs!$B$35+C9*Inputs!$B$36,N8+M9-O9-Inputs!$B$32)),0)</x:f>
        <x:v>0</x:v>
      </x:c>
      <x:c r="Q9" s="10" t="n">
        <x:f>Q8*(1+Inputs!$B$33)+O9+P9-IF(A9&gt;2038,Inputs!$B$37,0)</x:f>
        <x:v>350000</x:v>
      </x:c>
      <x:c r="R9" s="10" t="n">
        <x:f>N9+Q9</x:f>
        <x:v>797191.4994707445</x:v>
      </x:c>
      <x:c r="S9" t="str">
        <x:f>IF(N9&lt;0,"DEFICIT",IF(N9&lt;Inputs!$B$32,"LOW RESERVE","OK"))</x:f>
        <x:v>OK</x:v>
      </x:c>
    </x:row>
    <x:row r="10">
      <x:c r="A10" t="n">
        <x:v>2036</x:v>
      </x:c>
      <x:c r="B10" s="10" t="n">
        <x:f>IF(A10=2028,6*Inputs!$B$4+6*Inputs!$B$5*Inputs!$B$6,12*(Inputs!$B$5*(1+Inputs!$B$7)^(A10-2028)*(1+IF(A10&gt;=Inputs!$B$8,Inputs!$B$9,0)))*Inputs!$B$6)</x:f>
        <x:v>418858.61831419927</x:v>
      </x:c>
      <x:c r="C10" s="10" t="n">
        <x:f>IF(A10=2028,Inputs!$B$3,IF(A10&gt;=Inputs!$B$11,(Inputs!$B$5*(1+Inputs!$B$7)^(A10-2028)*(1+IF(A10&gt;=Inputs!$B$8,Inputs!$B$9,0)))*Inputs!$B$10*Inputs!$B$6,0))</x:f>
        <x:v>104714.65457854982</x:v>
      </x:c>
      <x:c r="D10" s="10" t="n">
        <x:f>IF(A10&lt;Inputs!$B$14,12*Inputs!$B$12,12*Inputs!$B$13)</x:f>
        <x:v>132000</x:v>
      </x:c>
      <x:c r="E10" s="10" t="n">
        <x:f>IF(A10=Inputs!$B$21,Inputs!$B$17,0)</x:f>
        <x:v>0</x:v>
      </x:c>
      <x:c r="F10" s="10" t="n">
        <x:f>IF(A10=Inputs!$B$21,6*Inputs!B40,IF(AND(A10&gt;Inputs!$B$21,A10&lt;Inputs!$B$22),12*Inputs!B40,IF(A10=Inputs!$B$22,6*Inputs!B40,0)))</x:f>
        <x:v>0</x:v>
      </x:c>
      <x:c r="G10" s="10" t="n">
        <x:f>IF(A10=Inputs!$B$22,Inputs!$B$23,0)</x:f>
        <x:v>0</x:v>
      </x:c>
      <x:c r="H10" s="10" t="n">
        <x:f>IF(A10=Inputs!$B$22,Inputs!B41,0)</x:f>
        <x:v>0</x:v>
      </x:c>
      <x:c r="I10" s="10" t="n">
        <x:f>IF(A10=Inputs!$B$24,Inputs!$B$25,0)</x:f>
        <x:v>0</x:v>
      </x:c>
      <x:c r="J10" s="10" t="n">
        <x:f>IF(A10=Inputs!$B$14,Inputs!$B$15,0)</x:f>
        <x:v>0</x:v>
      </x:c>
      <x:c r="K10" s="10" t="n">
        <x:f>IF(A10=Inputs!$B$26,Inputs!$B$28+Inputs!$B$29,0)</x:f>
        <x:v>0</x:v>
      </x:c>
      <x:c r="L10" s="10" t="n">
        <x:f>IF(A10&gt;Inputs!$B$26,12*Inputs!B42,0)</x:f>
        <x:v>109015.48825862457</x:v>
      </x:c>
      <x:c r="M10" s="10" t="n">
        <x:f>B10+C10-SUM(D10:F10)+G10-SUM(H10:L10)</x:f>
        <x:v>282557.7846341245</x:v>
      </x:c>
      <x:c r="N10" s="10" t="n">
        <x:f>N9+M10-O10-P10</x:f>
        <x:v>536449.025899884</x:v>
      </x:c>
      <x:c r="O10" s="10" t="n">
        <x:f>IF(A10=Inputs!$B$26,MAX(0,MIN(Inputs!$B$34,N9+M10-Inputs!$B$32)),0)</x:f>
        <x:v>0</x:v>
      </x:c>
      <x:c r="P10" s="10" t="n">
        <x:f>IF(A10&gt;Inputs!$B$26,MAX(0,MIN(12*Inputs!$B$35+C10*Inputs!$B$36,N9+M10-O10-Inputs!$B$32)),0)</x:f>
        <x:v>193300.2582049849</x:v>
      </x:c>
      <x:c r="Q10" s="10" t="n">
        <x:f>Q9*(1+Inputs!$B$33)+O10+P10-IF(A10&gt;2038,Inputs!$B$37,0)</x:f>
        <x:v>571300.258204985</x:v>
      </x:c>
      <x:c r="R10" s="10" t="n">
        <x:f>N10+Q10</x:f>
        <x:v>1107749.284104869</x:v>
      </x:c>
      <x:c r="S10" t="str">
        <x:f>IF(N10&lt;0,"DEFICIT",IF(N10&lt;Inputs!$B$32,"LOW RESERVE","OK"))</x:f>
        <x:v>OK</x:v>
      </x:c>
    </x:row>
    <x:row r="11">
      <x:c r="A11" t="n">
        <x:v>2037</x:v>
      </x:c>
      <x:c r="B11" s="10" t="n">
        <x:f>IF(A11=2028,6*Inputs!$B$4+6*Inputs!$B$5*Inputs!$B$6,12*(Inputs!$B$5*(1+Inputs!$B$7)^(A11-2028)*(1+IF(A11&gt;=Inputs!$B$8,Inputs!$B$9,0)))*Inputs!$B$6)</x:f>
        <x:v>439801.54922990926</x:v>
      </x:c>
      <x:c r="C11" s="10" t="n">
        <x:f>IF(A11=2028,Inputs!$B$3,IF(A11&gt;=Inputs!$B$11,(Inputs!$B$5*(1+Inputs!$B$7)^(A11-2028)*(1+IF(A11&gt;=Inputs!$B$8,Inputs!$B$9,0)))*Inputs!$B$10*Inputs!$B$6,0))</x:f>
        <x:v>109950.38730747731</x:v>
      </x:c>
      <x:c r="D11" s="10" t="n">
        <x:f>IF(A11&lt;Inputs!$B$14,12*Inputs!$B$12,12*Inputs!$B$13)</x:f>
        <x:v>132000</x:v>
      </x:c>
      <x:c r="E11" s="10" t="n">
        <x:f>IF(A11=Inputs!$B$21,Inputs!$B$17,0)</x:f>
        <x:v>0</x:v>
      </x:c>
      <x:c r="F11" s="10" t="n">
        <x:f>IF(A11=Inputs!$B$21,6*Inputs!B40,IF(AND(A11&gt;Inputs!$B$21,A11&lt;Inputs!$B$22),12*Inputs!B40,IF(A11=Inputs!$B$22,6*Inputs!B40,0)))</x:f>
        <x:v>0</x:v>
      </x:c>
      <x:c r="G11" s="10" t="n">
        <x:f>IF(A11=Inputs!$B$22,Inputs!$B$23,0)</x:f>
        <x:v>0</x:v>
      </x:c>
      <x:c r="H11" s="10" t="n">
        <x:f>IF(A11=Inputs!$B$22,Inputs!B41,0)</x:f>
        <x:v>0</x:v>
      </x:c>
      <x:c r="I11" s="10" t="n">
        <x:f>IF(A11=Inputs!$B$24,Inputs!$B$25,0)</x:f>
        <x:v>0</x:v>
      </x:c>
      <x:c r="J11" s="10" t="n">
        <x:f>IF(A11=Inputs!$B$14,Inputs!$B$15,0)</x:f>
        <x:v>0</x:v>
      </x:c>
      <x:c r="K11" s="10" t="n">
        <x:f>IF(A11=Inputs!$B$26,Inputs!$B$28+Inputs!$B$29,0)</x:f>
        <x:v>0</x:v>
      </x:c>
      <x:c r="L11" s="10" t="n">
        <x:f>IF(A11&gt;Inputs!$B$26,12*Inputs!B42,0)</x:f>
        <x:v>109015.48825862457</x:v>
      </x:c>
      <x:c r="M11" s="10" t="n">
        <x:f>B11+C11-SUM(D11:F11)+G11-SUM(H11:L11)</x:f>
        <x:v>308736.44827876205</x:v>
      </x:c>
      <x:c r="N11" s="10" t="n">
        <x:f>N10+M11-O11-P11</x:f>
        <x:v>648220.203063412</x:v>
      </x:c>
      <x:c r="O11" s="10" t="n">
        <x:f>IF(A11=Inputs!$B$26,MAX(0,MIN(Inputs!$B$34,N10+M11-Inputs!$B$32)),0)</x:f>
        <x:v>0</x:v>
      </x:c>
      <x:c r="P11" s="10" t="n">
        <x:f>IF(A11&gt;Inputs!$B$26,MAX(0,MIN(12*Inputs!$B$35+C11*Inputs!$B$36,N10+M11-O11-Inputs!$B$32)),0)</x:f>
        <x:v>196965.27111523412</x:v>
      </x:c>
      <x:c r="Q11" s="10" t="n">
        <x:f>Q10*(1+Inputs!$B$33)+O11+P11-IF(A11&gt;2038,Inputs!$B$37,0)</x:f>
        <x:v>813969.5499766179</x:v>
      </x:c>
      <x:c r="R11" s="10" t="n">
        <x:f>N11+Q11</x:f>
        <x:v>1462189.75304003</x:v>
      </x:c>
      <x:c r="S11" t="str">
        <x:f>IF(N11&lt;0,"DEFICIT",IF(N11&lt;Inputs!$B$32,"LOW RESERVE","OK"))</x:f>
        <x:v>OK</x:v>
      </x:c>
    </x:row>
    <x:row r="12">
      <x:c r="A12" t="n">
        <x:v>2038</x:v>
      </x:c>
      <x:c r="B12" s="10" t="n">
        <x:f>IF(A12=2028,6*Inputs!$B$4+6*Inputs!$B$5*Inputs!$B$6,12*(Inputs!$B$5*(1+Inputs!$B$7)^(A12-2028)*(1+IF(A12&gt;=Inputs!$B$8,Inputs!$B$9,0)))*Inputs!$B$6)</x:f>
        <x:v>461791.62669140473</x:v>
      </x:c>
      <x:c r="C12" s="10" t="n">
        <x:f>IF(A12=2028,Inputs!$B$3,IF(A12&gt;=Inputs!$B$11,(Inputs!$B$5*(1+Inputs!$B$7)^(A12-2028)*(1+IF(A12&gt;=Inputs!$B$8,Inputs!$B$9,0)))*Inputs!$B$10*Inputs!$B$6,0))</x:f>
        <x:v>115447.90667285118</x:v>
      </x:c>
      <x:c r="D12" s="10" t="n">
        <x:f>IF(A12&lt;Inputs!$B$14,12*Inputs!$B$12,12*Inputs!$B$13)</x:f>
        <x:v>132000</x:v>
      </x:c>
      <x:c r="E12" s="10" t="n">
        <x:f>IF(A12=Inputs!$B$21,Inputs!$B$17,0)</x:f>
        <x:v>0</x:v>
      </x:c>
      <x:c r="F12" s="10" t="n">
        <x:f>IF(A12=Inputs!$B$21,6*Inputs!B40,IF(AND(A12&gt;Inputs!$B$21,A12&lt;Inputs!$B$22),12*Inputs!B40,IF(A12=Inputs!$B$22,6*Inputs!B40,0)))</x:f>
        <x:v>0</x:v>
      </x:c>
      <x:c r="G12" s="10" t="n">
        <x:f>IF(A12=Inputs!$B$22,Inputs!$B$23,0)</x:f>
        <x:v>0</x:v>
      </x:c>
      <x:c r="H12" s="10" t="n">
        <x:f>IF(A12=Inputs!$B$22,Inputs!B41,0)</x:f>
        <x:v>0</x:v>
      </x:c>
      <x:c r="I12" s="10" t="n">
        <x:f>IF(A12=Inputs!$B$24,Inputs!$B$25,0)</x:f>
        <x:v>0</x:v>
      </x:c>
      <x:c r="J12" s="10" t="n">
        <x:f>IF(A12=Inputs!$B$14,Inputs!$B$15,0)</x:f>
        <x:v>0</x:v>
      </x:c>
      <x:c r="K12" s="10" t="n">
        <x:f>IF(A12=Inputs!$B$26,Inputs!$B$28+Inputs!$B$29,0)</x:f>
        <x:v>0</x:v>
      </x:c>
      <x:c r="L12" s="10" t="n">
        <x:f>IF(A12&gt;Inputs!$B$26,12*Inputs!B42,0)</x:f>
        <x:v>109015.48825862457</x:v>
      </x:c>
      <x:c r="M12" s="10" t="n">
        <x:f>B12+C12-SUM(D12:F12)+G12-SUM(H12:L12)</x:f>
        <x:v>336224.04510563135</x:v>
      </x:c>
      <x:c r="N12" s="10" t="n">
        <x:f>N11+M12-O12-P12</x:f>
        <x:v>783630.7134980476</x:v>
      </x:c>
      <x:c r="O12" s="10" t="n">
        <x:f>IF(A12=Inputs!$B$26,MAX(0,MIN(Inputs!$B$34,N11+M12-Inputs!$B$32)),0)</x:f>
        <x:v>0</x:v>
      </x:c>
      <x:c r="P12" s="10" t="n">
        <x:f>IF(A12&gt;Inputs!$B$26,MAX(0,MIN(12*Inputs!$B$35+C12*Inputs!$B$36,N11+M12-O12-Inputs!$B$32)),0)</x:f>
        <x:v>200813.53467099584</x:v>
      </x:c>
      <x:c r="Q12" s="10" t="n">
        <x:f>Q11*(1+Inputs!$B$33)+O12+P12-IF(A12&gt;2038,Inputs!$B$37,0)</x:f>
        <x:v>1079900.6486457433</x:v>
      </x:c>
      <x:c r="R12" s="10" t="n">
        <x:f>N12+Q12</x:f>
        <x:v>1863531.3621437908</x:v>
      </x:c>
      <x:c r="S12" t="str">
        <x:f>IF(N12&lt;0,"DEFICIT",IF(N12&lt;Inputs!$B$32,"LOW RESERVE","OK"))</x:f>
        <x:v>OK</x:v>
      </x:c>
    </x:row>
    <x:row r="13">
      <x:c r="A13" t="n">
        <x:v>2039</x:v>
      </x:c>
      <x:c r="B13" s="10" t="n">
        <x:f>IF(A13=2028,6*Inputs!$B$4+6*Inputs!$B$5*Inputs!$B$6,12*(Inputs!$B$5*(1+Inputs!$B$7)^(A13-2028)*(1+IF(A13&gt;=Inputs!$B$8,Inputs!$B$9,0)))*Inputs!$B$6)</x:f>
        <x:v>484881.208025975</x:v>
      </x:c>
      <x:c r="C13" s="10" t="n">
        <x:f>IF(A13=2028,Inputs!$B$3,IF(A13&gt;=Inputs!$B$11,(Inputs!$B$5*(1+Inputs!$B$7)^(A13-2028)*(1+IF(A13&gt;=Inputs!$B$8,Inputs!$B$9,0)))*Inputs!$B$10*Inputs!$B$6,0))</x:f>
        <x:v>121220.30200649374</x:v>
      </x:c>
      <x:c r="D13" s="10" t="n">
        <x:f>IF(A13&lt;Inputs!$B$14,12*Inputs!$B$12,12*Inputs!$B$13)</x:f>
        <x:v>132000</x:v>
      </x:c>
      <x:c r="E13" s="10" t="n">
        <x:f>IF(A13=Inputs!$B$21,Inputs!$B$17,0)</x:f>
        <x:v>0</x:v>
      </x:c>
      <x:c r="F13" s="10" t="n">
        <x:f>IF(A13=Inputs!$B$21,6*Inputs!B40,IF(AND(A13&gt;Inputs!$B$21,A13&lt;Inputs!$B$22),12*Inputs!B40,IF(A13=Inputs!$B$22,6*Inputs!B40,0)))</x:f>
        <x:v>0</x:v>
      </x:c>
      <x:c r="G13" s="10" t="n">
        <x:f>IF(A13=Inputs!$B$22,Inputs!$B$23,0)</x:f>
        <x:v>0</x:v>
      </x:c>
      <x:c r="H13" s="10" t="n">
        <x:f>IF(A13=Inputs!$B$22,Inputs!B41,0)</x:f>
        <x:v>0</x:v>
      </x:c>
      <x:c r="I13" s="10" t="n">
        <x:f>IF(A13=Inputs!$B$24,Inputs!$B$25,0)</x:f>
        <x:v>0</x:v>
      </x:c>
      <x:c r="J13" s="10" t="n">
        <x:f>IF(A13=Inputs!$B$14,Inputs!$B$15,0)</x:f>
        <x:v>0</x:v>
      </x:c>
      <x:c r="K13" s="10" t="n">
        <x:f>IF(A13=Inputs!$B$26,Inputs!$B$28+Inputs!$B$29,0)</x:f>
        <x:v>0</x:v>
      </x:c>
      <x:c r="L13" s="10" t="n">
        <x:f>IF(A13&gt;Inputs!$B$26,12*Inputs!B42,0)</x:f>
        <x:v>109015.48825862457</x:v>
      </x:c>
      <x:c r="M13" s="10" t="n">
        <x:f>B13+C13-SUM(D13:F13)+G13-SUM(H13:L13)</x:f>
        <x:v>365086.02177384414</x:v>
      </x:c>
      <x:c r="N13" s="10" t="n">
        <x:f>N12+M13-O13-P13</x:f>
        <x:v>943862.523867346</x:v>
      </x:c>
      <x:c r="O13" s="10" t="n">
        <x:f>IF(A13=Inputs!$B$26,MAX(0,MIN(Inputs!$B$34,N12+M13-Inputs!$B$32)),0)</x:f>
        <x:v>0</x:v>
      </x:c>
      <x:c r="P13" s="10" t="n">
        <x:f>IF(A13&gt;Inputs!$B$26,MAX(0,MIN(12*Inputs!$B$35+C13*Inputs!$B$36,N12+M13-O13-Inputs!$B$32)),0)</x:f>
        <x:v>204854.2114045456</x:v>
      </x:c>
      <x:c r="Q13" s="10" t="n">
        <x:f>Q12*(1+Inputs!$B$33)+O13+P13-IF(A13&gt;2038,Inputs!$B$37,0)</x:f>
        <x:v>1371146.9119419486</x:v>
      </x:c>
      <x:c r="R13" s="10" t="n">
        <x:f>N13+Q13</x:f>
        <x:v>2315009.4358092947</x:v>
      </x:c>
      <x:c r="S13" t="str">
        <x:f>IF(N13&lt;0,"DEFICIT",IF(N13&lt;Inputs!$B$32,"LOW RESERVE","OK"))</x:f>
        <x:v>OK</x:v>
      </x:c>
    </x:row>
    <x:row r="14">
      <x:c r="A14" t="n">
        <x:v>2040</x:v>
      </x:c>
      <x:c r="B14" s="10" t="n">
        <x:f>IF(A14=2028,6*Inputs!$B$4+6*Inputs!$B$5*Inputs!$B$6,12*(Inputs!$B$5*(1+Inputs!$B$7)^(A14-2028)*(1+IF(A14&gt;=Inputs!$B$8,Inputs!$B$9,0)))*Inputs!$B$6)</x:f>
        <x:v>509125.26842727367</x:v>
      </x:c>
      <x:c r="C14" s="10" t="n">
        <x:f>IF(A14=2028,Inputs!$B$3,IF(A14&gt;=Inputs!$B$11,(Inputs!$B$5*(1+Inputs!$B$7)^(A14-2028)*(1+IF(A14&gt;=Inputs!$B$8,Inputs!$B$9,0)))*Inputs!$B$10*Inputs!$B$6,0))</x:f>
        <x:v>127281.31710681842</x:v>
      </x:c>
      <x:c r="D14" s="10" t="n">
        <x:f>IF(A14&lt;Inputs!$B$14,12*Inputs!$B$12,12*Inputs!$B$13)</x:f>
        <x:v>132000</x:v>
      </x:c>
      <x:c r="E14" s="10" t="n">
        <x:f>IF(A14=Inputs!$B$21,Inputs!$B$17,0)</x:f>
        <x:v>0</x:v>
      </x:c>
      <x:c r="F14" s="10" t="n">
        <x:f>IF(A14=Inputs!$B$21,6*Inputs!B40,IF(AND(A14&gt;Inputs!$B$21,A14&lt;Inputs!$B$22),12*Inputs!B40,IF(A14=Inputs!$B$22,6*Inputs!B40,0)))</x:f>
        <x:v>0</x:v>
      </x:c>
      <x:c r="G14" s="10" t="n">
        <x:f>IF(A14=Inputs!$B$22,Inputs!$B$23,0)</x:f>
        <x:v>0</x:v>
      </x:c>
      <x:c r="H14" s="10" t="n">
        <x:f>IF(A14=Inputs!$B$22,Inputs!B41,0)</x:f>
        <x:v>0</x:v>
      </x:c>
      <x:c r="I14" s="10" t="n">
        <x:f>IF(A14=Inputs!$B$24,Inputs!$B$25,0)</x:f>
        <x:v>0</x:v>
      </x:c>
      <x:c r="J14" s="10" t="n">
        <x:f>IF(A14=Inputs!$B$14,Inputs!$B$15,0)</x:f>
        <x:v>0</x:v>
      </x:c>
      <x:c r="K14" s="10" t="n">
        <x:f>IF(A14=Inputs!$B$26,Inputs!$B$28+Inputs!$B$29,0)</x:f>
        <x:v>0</x:v>
      </x:c>
      <x:c r="L14" s="10" t="n">
        <x:f>IF(A14&gt;Inputs!$B$26,12*Inputs!B42,0)</x:f>
        <x:v>109015.48825862457</x:v>
      </x:c>
      <x:c r="M14" s="10" t="n">
        <x:f>B14+C14-SUM(D14:F14)+G14-SUM(H14:L14)</x:f>
        <x:v>395391.0972754675</x:v>
      </x:c>
      <x:c r="N14" s="10" t="n">
        <x:f>N13+M14-O14-P14</x:f>
        <x:v>1130156.6991680406</x:v>
      </x:c>
      <x:c r="O14" s="10" t="n">
        <x:f>IF(A14=Inputs!$B$26,MAX(0,MIN(Inputs!$B$34,N13+M14-Inputs!$B$32)),0)</x:f>
        <x:v>0</x:v>
      </x:c>
      <x:c r="P14" s="10" t="n">
        <x:f>IF(A14&gt;Inputs!$B$26,MAX(0,MIN(12*Inputs!$B$35+C14*Inputs!$B$36,N13+M14-O14-Inputs!$B$32)),0)</x:f>
        <x:v>209096.92197477288</x:v>
      </x:c>
      <x:c r="Q14" s="10" t="n">
        <x:f>Q13*(1+Inputs!$B$33)+O14+P14-IF(A14&gt;2038,Inputs!$B$37,0)</x:f>
        <x:v>1689935.5868720773</x:v>
      </x:c>
      <x:c r="R14" s="10" t="n">
        <x:f>N14+Q14</x:f>
        <x:v>2820092.286040118</x:v>
      </x:c>
      <x:c r="S14" t="str">
        <x:f>IF(N14&lt;0,"DEFICIT",IF(N14&lt;Inputs!$B$32,"LOW RESERVE","OK"))</x:f>
        <x:v>OK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5" hidden="0" customWidth="1"/>
  </x:cols>
  <x:sheetData>
    <x:row r="1" ht="29" customHeight="1">
      <x:c r="A1" s="7" t="str">
        <x:v>FINANCIAL GOALS DASHBOARD</x:v>
      </x:c>
      <x:c r="B1" s="7" t="str">
        <x:v>SAR</x:v>
      </x:c>
    </x:row>
    <x:row r="2">
      <x:c r="A2" t="str">
        <x:v>2032 year-end cash</x:v>
      </x:c>
      <x:c r="B2" s="10" t="n">
        <x:f>'Annual Plan'!N6</x:f>
        <x:v>767371.6158345137</x:v>
      </x:c>
    </x:row>
    <x:row r="3">
      <x:c r="A3" t="str">
        <x:v>2035 cash after villa</x:v>
      </x:c>
      <x:c r="B3" s="10" t="n">
        <x:f>'Annual Plan'!N9</x:f>
        <x:v>447191.4994707445</x:v>
      </x:c>
    </x:row>
    <x:row r="4">
      <x:c r="A4" t="str">
        <x:v>2035 portfolio</x:v>
      </x:c>
      <x:c r="B4" s="10" t="n">
        <x:f>'Annual Plan'!Q9</x:f>
        <x:v>350000</x:v>
      </x:c>
    </x:row>
    <x:row r="5">
      <x:c r="A5" t="str">
        <x:v>2035 liquid wealth</x:v>
      </x:c>
      <x:c r="B5" s="10" t="n">
        <x:f>'Annual Plan'!R9</x:f>
        <x:v>797191.4994707445</x:v>
      </x:c>
    </x:row>
    <x:row r="6">
      <x:c r="A6" t="str">
        <x:v>2038 portfolio</x:v>
      </x:c>
      <x:c r="B6" s="10" t="n">
        <x:f>'Annual Plan'!Q12</x:f>
        <x:v>1079900.6486457433</x:v>
      </x:c>
    </x:row>
    <x:row r="7">
      <x:c r="A7" t="str">
        <x:v>2040 portfolio</x:v>
      </x:c>
      <x:c r="B7" s="10" t="n">
        <x:f>'Annual Plan'!Q14</x:f>
        <x:v>1689935.5868720773</x:v>
      </x:c>
    </x:row>
    <x:row r="8">
      <x:c r="A8" t="str">
        <x:v>Mortgage monthly</x:v>
      </x:c>
      <x:c r="B8" s="10" t="n">
        <x:f>Inputs!B42</x:f>
        <x:v>9084.624021552047</x:v>
      </x:c>
    </x:row>
    <x:row r="9">
      <x:c r="A9" t="str">
        <x:v>Car balloon amount</x:v>
      </x:c>
      <x:c r="B9" s="10" t="n">
        <x:f>Inputs!$B$16*Inputs!$B$18</x:f>
        <x:v>140000</x:v>
      </x:c>
    </x:row>
    <x:row r="10">
      <x:c r="B10" s="10"/>
    </x:row>
    <x:row r="11">
      <x:c r="A11" t="str">
        <x:v>GOAL</x:v>
      </x:c>
      <x:c r="B11" s="10" t="str">
        <x:v>TARGET</x:v>
      </x:c>
    </x:row>
    <x:row r="12">
      <x:c r="A12" t="str">
        <x:v>Marriage 2031</x:v>
      </x:c>
      <x:c r="B12" s="10" t="n">
        <x:v>200000</x:v>
      </x:c>
    </x:row>
    <x:row r="13">
      <x:c r="A13" t="str">
        <x:v>Car cash 2032</x:v>
      </x:c>
      <x:c r="B13" s="10" t="n">
        <x:v>500000</x:v>
      </x:c>
    </x:row>
    <x:row r="14">
      <x:c r="A14" t="str">
        <x:v>Villa 2035</x:v>
      </x:c>
      <x:c r="B14" s="10" t="n">
        <x:v>2500000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52" hidden="0" customWidth="1"/>
  </x:cols>
  <x:sheetData>
    <x:row r="1" ht="29" customHeight="1">
      <x:c r="A1" s="7" t="str">
        <x:v>Date</x:v>
      </x:c>
      <x:c r="B1" s="7" t="str">
        <x:v>Net monthly salary</x:v>
      </x:c>
      <x:c r="C1" s="7" t="str">
        <x:v>Bonus received</x:v>
      </x:c>
      <x:c r="D1" s="7" t="str">
        <x:v>Cash balance</x:v>
      </x:c>
      <x:c r="E1" s="7" t="str">
        <x:v>Portfolio balance</x:v>
      </x:c>
      <x:c r="F1" s="7" t="str">
        <x:v>Total debt</x:v>
      </x:c>
      <x:c r="G1" s="7" t="str">
        <x:v>What changed?</x:v>
      </x:c>
    </x:row>
    <x:row r="2">
      <x:c r="A2" t="str">
        <x:v>2026-10-21</x:v>
      </x:c>
      <x:c r="B2"/>
      <x:c r="C2"/>
      <x:c r="D2"/>
      <x:c r="E2"/>
      <x:c r="F2"/>
      <x:c r="G2" t="str">
        <x:v>Add new row at each check-in; edit Inputs to update projections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9" customHeight="1">
      <x:c r="A1" s="7" t="str">
        <x:v>HOW TO USE</x:v>
      </x:c>
      <x:c r="B1" s="7" t="str">
        <x:v>Details</x:v>
      </x:c>
    </x:row>
    <x:row r="2">
      <x:c r="A2" t="str">
        <x:v>1 — Update</x:v>
      </x:c>
      <x:c r="B2" t="str">
        <x:v>Edit yellow / blue cells in Inputs</x:v>
      </x:c>
    </x:row>
    <x:row r="3">
      <x:c r="A3" t="str">
        <x:v>2 — Track</x:v>
      </x:c>
      <x:c r="B3" t="str">
        <x:v>Record actual income, bonuses, savings and debt in Update Log</x:v>
      </x:c>
    </x:row>
    <x:row r="4">
      <x:c r="A4" t="str">
        <x:v>3 — Review</x:v>
      </x:c>
      <x:c r="B4" t="str">
        <x:v>Annual Plan and Dashboard recalculate from inputs</x:v>
      </x:c>
    </x:row>
    <x:row r="5">
      <x:c r="A5" t="str">
        <x:v>4 — Car balloon</x:v>
      </x:c>
      <x:c r="B5" t="str">
        <x:v>Car 1 40% balloon included in payoff after 48 months; lender quote may differ</x:v>
      </x:c>
    </x:row>
    <x:row r="6">
      <x:c r="A6" t="str">
        <x:v>5 — Caution</x:v>
      </x:c>
      <x:c r="B6" t="str">
        <x:v>2028 job switch, bonuses, returns, sale price and mortgage are assumptions</x:v>
      </x:c>
    </x:row>
    <x:row r="7">
      <x:c r="A7" t="str">
        <x:v>6 — Send back</x:v>
      </x:c>
      <x:c r="B7" t="str">
        <x:v>Upload the edited .xlsx here for analysis and revised recommendations</x:v>
      </x:c>
    </x:row>
  </x:sheetData>
  <x:pageMargins left="0.7" right="0.7" top="0.75" bottom="0.75" header="0.3" footer="0.3"/>
</x:worksheet>
</file>